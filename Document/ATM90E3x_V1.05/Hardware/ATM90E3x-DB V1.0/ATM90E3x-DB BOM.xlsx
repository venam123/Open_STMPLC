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41401\Desktop\"/>
    </mc:Choice>
  </mc:AlternateContent>
  <xr:revisionPtr revIDLastSave="0" documentId="13_ncr:1_{255DCB3E-E96C-4D19-8FD4-738A6A02226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ATM90E3x-D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B8" i="1"/>
  <c r="G43" i="1"/>
</calcChain>
</file>

<file path=xl/sharedStrings.xml><?xml version="1.0" encoding="utf-8"?>
<sst xmlns="http://schemas.openxmlformats.org/spreadsheetml/2006/main" count="158" uniqueCount="117">
  <si>
    <t>Print Date:</t>
  </si>
  <si>
    <t>Source Data From:</t>
  </si>
  <si>
    <t>Variant:</t>
  </si>
  <si>
    <t>Project:</t>
  </si>
  <si>
    <t>Bill of Materials</t>
  </si>
  <si>
    <t>None</t>
  </si>
  <si>
    <t>Footprint</t>
  </si>
  <si>
    <t>C_FILM_600</t>
  </si>
  <si>
    <t>C_ALUM_MIX_10x10</t>
  </si>
  <si>
    <t>C_TANT_B3528</t>
  </si>
  <si>
    <t>C0805</t>
  </si>
  <si>
    <t>C0603</t>
  </si>
  <si>
    <t>TE-1776119-2</t>
  </si>
  <si>
    <t>HDR2X10</t>
  </si>
  <si>
    <t>HDR1X2</t>
  </si>
  <si>
    <t>JMP</t>
  </si>
  <si>
    <t>PowerJacket2.5</t>
  </si>
  <si>
    <t>R0805</t>
  </si>
  <si>
    <t>R0603</t>
  </si>
  <si>
    <t>R1206</t>
  </si>
  <si>
    <t>VDRS10P510BSE</t>
  </si>
  <si>
    <t>SOT-89</t>
  </si>
  <si>
    <t>XTAL-MIX-49</t>
  </si>
  <si>
    <t>Comment</t>
  </si>
  <si>
    <t/>
  </si>
  <si>
    <t>100pF</t>
  </si>
  <si>
    <t>220uF</t>
  </si>
  <si>
    <t>22uF</t>
  </si>
  <si>
    <t>10uF</t>
  </si>
  <si>
    <t>0.1uF</t>
  </si>
  <si>
    <t>Red</t>
  </si>
  <si>
    <t>PowerJack</t>
  </si>
  <si>
    <t>510R</t>
  </si>
  <si>
    <t>10K</t>
  </si>
  <si>
    <t>1K</t>
  </si>
  <si>
    <t>2R4</t>
  </si>
  <si>
    <t>0R</t>
  </si>
  <si>
    <t>RES-V</t>
  </si>
  <si>
    <t>78L33</t>
  </si>
  <si>
    <t>Designator</t>
  </si>
  <si>
    <t>C1</t>
  </si>
  <si>
    <t>C2</t>
  </si>
  <si>
    <t>C3, C4</t>
  </si>
  <si>
    <t>C6, C7, C8</t>
  </si>
  <si>
    <t>D1, D2</t>
  </si>
  <si>
    <t>D3</t>
  </si>
  <si>
    <t>J-U</t>
  </si>
  <si>
    <t>J2</t>
  </si>
  <si>
    <t>PW1</t>
  </si>
  <si>
    <t>R4</t>
  </si>
  <si>
    <t>RV1</t>
  </si>
  <si>
    <t>U1</t>
  </si>
  <si>
    <t>U2</t>
  </si>
  <si>
    <t>X1</t>
  </si>
  <si>
    <t>Quantity</t>
  </si>
  <si>
    <t>Manufacturer</t>
  </si>
  <si>
    <t>Designation</t>
  </si>
  <si>
    <t>VE-221M1VTR-1010</t>
  </si>
  <si>
    <t>Lelon</t>
  </si>
  <si>
    <t>Vishay</t>
  </si>
  <si>
    <t>Tyco</t>
  </si>
  <si>
    <t>ST</t>
  </si>
  <si>
    <t>Part Number</t>
  </si>
  <si>
    <t>SMA DO-214AC</t>
  </si>
  <si>
    <t>LED-0805Y</t>
  </si>
  <si>
    <t>LED-0805R</t>
  </si>
  <si>
    <t>TMLM04109</t>
  </si>
  <si>
    <t>PS2501L-1</t>
  </si>
  <si>
    <t>NEC</t>
  </si>
  <si>
    <t>ATMEL</t>
  </si>
  <si>
    <t>TRACO POWER</t>
  </si>
  <si>
    <t>Epcos</t>
  </si>
  <si>
    <t>B32922C3104M</t>
  </si>
  <si>
    <t>1776119-2</t>
  </si>
  <si>
    <t>Chip Resistor</t>
  </si>
  <si>
    <t>Connector,DC Jack,Right Angle,3Pin,2.0M</t>
  </si>
  <si>
    <t>Chip Resistor, 25ppm</t>
  </si>
  <si>
    <t>Ceramic Capacitor, 16V</t>
  </si>
  <si>
    <t>Tantalum Capacitor, 25V</t>
  </si>
  <si>
    <t>2.54mm Pitch Single Row Pin Header</t>
  </si>
  <si>
    <t>Socket,Right Angle,2x10Pin,2.54MM pitch</t>
  </si>
  <si>
    <t>C5, C12, C22, C30</t>
  </si>
  <si>
    <t>C9, C15, C16, C17, C23</t>
  </si>
  <si>
    <t>C10, C11, C13, C14, C18, C19, C20, C21, C24, C25, C26, C27, C28, C29</t>
  </si>
  <si>
    <t>18nF</t>
  </si>
  <si>
    <t>1N4147</t>
  </si>
  <si>
    <t>Yellow</t>
  </si>
  <si>
    <t>D4, D5, D6, D7</t>
  </si>
  <si>
    <t>J-IA, J-IB, J-IC, J-IN</t>
  </si>
  <si>
    <t>TE-282843-4</t>
  </si>
  <si>
    <t>J4</t>
  </si>
  <si>
    <t>HDR1X8</t>
  </si>
  <si>
    <t>JP2, JP3, JP4, JP5, JP6, JP7, JP8</t>
  </si>
  <si>
    <t>R1, R5, R12, R16, R17, R20, R21, R23, R32</t>
  </si>
  <si>
    <t>R13</t>
  </si>
  <si>
    <t>R22, R24, R25, R26, R27, R28, R29, R33, R34, R35, R36, R37, R38, R39, R42, R43, R44, R45, R46, R47, R48</t>
  </si>
  <si>
    <t>240K</t>
  </si>
  <si>
    <t>RC1, RC2, RC3, RC4, RC5, RC6, RC7, RC8</t>
  </si>
  <si>
    <t>RR1, RR2, RR3, RR4, RR5, RR6, RR7, RR8</t>
  </si>
  <si>
    <t>0</t>
  </si>
  <si>
    <t>TMLM04112</t>
  </si>
  <si>
    <t>U3, U4, U5, U6</t>
  </si>
  <si>
    <t>U7</t>
  </si>
  <si>
    <t>ATM90E36</t>
  </si>
  <si>
    <t>TQFP-48(7x7)</t>
  </si>
  <si>
    <t>16.384MHz</t>
  </si>
  <si>
    <t>Bill of Materials For Project [ATM90E3x-DB.PrjPcb]</t>
  </si>
  <si>
    <t>ATM90E3x-DB.PrjPcb</t>
  </si>
  <si>
    <t>282843-4</t>
  </si>
  <si>
    <t>J3, J5, J6, J7, J8</t>
  </si>
  <si>
    <t>ATM90E36A</t>
  </si>
  <si>
    <t>R2, R3, R10, R11, R14, R15, R18, R19</t>
  </si>
  <si>
    <t>R30, R31, R40, R41, R49, R50</t>
  </si>
  <si>
    <r>
      <t>16.384MHz,+/-20PPM,18PF, Level</t>
    </r>
    <r>
      <rPr>
        <sz val="10"/>
        <rFont val="宋体"/>
        <family val="3"/>
        <charset val="134"/>
      </rPr>
      <t>≤</t>
    </r>
    <r>
      <rPr>
        <sz val="10"/>
        <rFont val="Arial"/>
        <family val="2"/>
      </rPr>
      <t>100µW</t>
    </r>
  </si>
  <si>
    <t>e.g. YXC</t>
  </si>
  <si>
    <t>e.g. X49SD16384MSD2SI-1</t>
  </si>
  <si>
    <t xml:space="preserve">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</si>
</sst>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9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4" fontId="0" fillId="0" borderId="0" xfId="0" applyNumberFormat="1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Alignment="1">
      <alignment vertical="top"/>
    </xf>
    <xf numFmtId="0" fontId="0" fillId="2" borderId="2" xfId="0" applyFill="1" applyBorder="1" applyAlignment="1"/>
    <xf numFmtId="0" fontId="3" fillId="0" borderId="0" xfId="0" applyFont="1" applyBorder="1" applyAlignment="1"/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 applyBorder="1" applyAlignment="1"/>
    <xf numFmtId="0" fontId="0" fillId="0" borderId="1" xfId="0" quotePrefix="1" applyBorder="1" applyAlignment="1">
      <alignment horizontal="left"/>
    </xf>
    <xf numFmtId="0" fontId="1" fillId="0" borderId="0" xfId="0" quotePrefix="1" applyFont="1" applyBorder="1" applyAlignment="1">
      <alignment horizontal="left"/>
    </xf>
    <xf numFmtId="0" fontId="1" fillId="0" borderId="4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6" fillId="2" borderId="5" xfId="0" quotePrefix="1" applyFont="1" applyFill="1" applyBorder="1" applyAlignment="1">
      <alignment vertical="center"/>
    </xf>
    <xf numFmtId="0" fontId="2" fillId="3" borderId="10" xfId="0" quotePrefix="1" applyFont="1" applyFill="1" applyBorder="1" applyAlignment="1">
      <alignment horizontal="center" vertical="center"/>
    </xf>
    <xf numFmtId="0" fontId="2" fillId="3" borderId="11" xfId="0" quotePrefix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quotePrefix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vertical="center"/>
    </xf>
    <xf numFmtId="1" fontId="0" fillId="2" borderId="9" xfId="0" applyNumberFormat="1" applyFill="1" applyBorder="1" applyAlignment="1">
      <alignment horizontal="center" vertical="center"/>
    </xf>
    <xf numFmtId="0" fontId="0" fillId="2" borderId="13" xfId="0" applyFill="1" applyBorder="1" applyAlignment="1"/>
    <xf numFmtId="0" fontId="0" fillId="2" borderId="14" xfId="0" applyFill="1" applyBorder="1" applyAlignment="1">
      <alignment horizontal="left"/>
    </xf>
    <xf numFmtId="0" fontId="0" fillId="2" borderId="15" xfId="0" applyFill="1" applyBorder="1" applyAlignment="1"/>
    <xf numFmtId="0" fontId="0" fillId="2" borderId="6" xfId="0" applyFill="1" applyBorder="1" applyAlignment="1"/>
    <xf numFmtId="0" fontId="5" fillId="0" borderId="16" xfId="0" applyFont="1" applyBorder="1" applyAlignment="1">
      <alignment vertical="center"/>
    </xf>
    <xf numFmtId="0" fontId="1" fillId="0" borderId="16" xfId="0" applyFont="1" applyBorder="1" applyAlignment="1"/>
    <xf numFmtId="0" fontId="0" fillId="0" borderId="7" xfId="0" applyBorder="1" applyAlignment="1"/>
    <xf numFmtId="0" fontId="1" fillId="0" borderId="18" xfId="0" applyFont="1" applyBorder="1" applyAlignment="1"/>
    <xf numFmtId="0" fontId="0" fillId="0" borderId="19" xfId="0" applyBorder="1" applyAlignment="1"/>
    <xf numFmtId="0" fontId="3" fillId="0" borderId="16" xfId="0" applyFont="1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21" xfId="0" applyBorder="1" applyAlignment="1">
      <alignment horizontal="left"/>
    </xf>
    <xf numFmtId="0" fontId="0" fillId="0" borderId="21" xfId="0" applyBorder="1" applyAlignment="1"/>
    <xf numFmtId="0" fontId="0" fillId="0" borderId="8" xfId="0" applyBorder="1" applyAlignment="1"/>
    <xf numFmtId="0" fontId="0" fillId="2" borderId="15" xfId="0" applyFill="1" applyBorder="1" applyAlignment="1">
      <alignment horizontal="left"/>
    </xf>
    <xf numFmtId="0" fontId="0" fillId="0" borderId="0" xfId="0" quotePrefix="1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2" borderId="17" xfId="0" applyFill="1" applyBorder="1" applyAlignment="1">
      <alignment horizontal="center"/>
    </xf>
    <xf numFmtId="0" fontId="4" fillId="0" borderId="23" xfId="0" quotePrefix="1" applyFont="1" applyBorder="1" applyAlignment="1">
      <alignment horizontal="left" vertical="top"/>
    </xf>
    <xf numFmtId="0" fontId="4" fillId="0" borderId="23" xfId="0" quotePrefix="1" applyFont="1" applyBorder="1" applyAlignment="1">
      <alignment vertical="top"/>
    </xf>
    <xf numFmtId="0" fontId="4" fillId="0" borderId="23" xfId="0" applyFont="1" applyBorder="1" applyAlignment="1">
      <alignment vertical="top"/>
    </xf>
    <xf numFmtId="0" fontId="4" fillId="0" borderId="0" xfId="0" quotePrefix="1" applyFont="1" applyBorder="1" applyAlignment="1">
      <alignment horizontal="left" vertical="top"/>
    </xf>
    <xf numFmtId="0" fontId="4" fillId="0" borderId="24" xfId="0" quotePrefix="1" applyFont="1" applyBorder="1" applyAlignment="1">
      <alignment horizontal="left" vertical="top" wrapText="1"/>
    </xf>
    <xf numFmtId="1" fontId="4" fillId="2" borderId="25" xfId="0" applyNumberFormat="1" applyFont="1" applyFill="1" applyBorder="1" applyAlignment="1">
      <alignment vertical="top"/>
    </xf>
    <xf numFmtId="0" fontId="4" fillId="0" borderId="26" xfId="0" quotePrefix="1" applyFont="1" applyBorder="1" applyAlignment="1">
      <alignment vertical="top" wrapText="1"/>
    </xf>
    <xf numFmtId="0" fontId="4" fillId="0" borderId="22" xfId="0" quotePrefix="1" applyFont="1" applyBorder="1" applyAlignment="1">
      <alignment vertical="top" wrapText="1"/>
    </xf>
    <xf numFmtId="0" fontId="4" fillId="0" borderId="27" xfId="0" quotePrefix="1" applyFont="1" applyBorder="1" applyAlignment="1">
      <alignment horizontal="left" vertical="top"/>
    </xf>
    <xf numFmtId="0" fontId="4" fillId="0" borderId="27" xfId="0" quotePrefix="1" applyFont="1" applyBorder="1" applyAlignment="1">
      <alignment vertical="top"/>
    </xf>
    <xf numFmtId="0" fontId="4" fillId="0" borderId="27" xfId="0" applyFont="1" applyBorder="1" applyAlignment="1">
      <alignment vertical="top"/>
    </xf>
    <xf numFmtId="1" fontId="4" fillId="2" borderId="28" xfId="0" applyNumberFormat="1" applyFont="1" applyFill="1" applyBorder="1" applyAlignment="1">
      <alignment vertical="top"/>
    </xf>
    <xf numFmtId="0" fontId="7" fillId="4" borderId="23" xfId="0" quotePrefix="1" applyFont="1" applyFill="1" applyBorder="1" applyAlignment="1">
      <alignment horizontal="left" vertical="top"/>
    </xf>
    <xf numFmtId="0" fontId="7" fillId="4" borderId="23" xfId="0" quotePrefix="1" applyFont="1" applyFill="1" applyBorder="1" applyAlignment="1">
      <alignment vertical="top"/>
    </xf>
    <xf numFmtId="0" fontId="7" fillId="4" borderId="23" xfId="0" applyFont="1" applyFill="1" applyBorder="1" applyAlignment="1">
      <alignment vertical="top"/>
    </xf>
    <xf numFmtId="0" fontId="4" fillId="0" borderId="26" xfId="0" applyFont="1" applyBorder="1" applyAlignment="1">
      <alignment horizontal="left" vertical="top" wrapText="1"/>
    </xf>
    <xf numFmtId="0" fontId="7" fillId="4" borderId="24" xfId="0" quotePrefix="1" applyFont="1" applyFill="1" applyBorder="1" applyAlignment="1">
      <alignment horizontal="left" vertical="top" wrapText="1"/>
    </xf>
    <xf numFmtId="0" fontId="4" fillId="0" borderId="27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Normal="100" workbookViewId="0">
      <selection activeCell="D5" sqref="D5"/>
    </sheetView>
  </sheetViews>
  <sheetFormatPr defaultColWidth="9.1796875" defaultRowHeight="12.5"/>
  <cols>
    <col min="1" max="1" width="37.453125" style="5" bestFit="1" customWidth="1"/>
    <col min="2" max="2" width="15.7265625" style="11" customWidth="1"/>
    <col min="3" max="3" width="20.7265625" style="5" customWidth="1"/>
    <col min="4" max="4" width="37" style="5" bestFit="1" customWidth="1"/>
    <col min="5" max="5" width="20.7265625" style="11" customWidth="1"/>
    <col min="6" max="6" width="24.90625" style="5" customWidth="1"/>
    <col min="7" max="7" width="10.7265625" style="5" customWidth="1"/>
    <col min="8" max="16384" width="9.1796875" style="5"/>
  </cols>
  <sheetData>
    <row r="1" spans="1:8" ht="13" thickBot="1">
      <c r="A1" s="31"/>
      <c r="B1" s="32"/>
      <c r="C1" s="46"/>
      <c r="D1" s="46"/>
      <c r="E1" s="33"/>
      <c r="F1" s="33"/>
      <c r="G1" s="34"/>
      <c r="H1" s="2"/>
    </row>
    <row r="2" spans="1:8" ht="30.5" thickBot="1">
      <c r="A2" s="35" t="s">
        <v>4</v>
      </c>
      <c r="B2" s="13"/>
      <c r="C2" s="22" t="s">
        <v>106</v>
      </c>
      <c r="D2" s="6"/>
      <c r="E2" s="6"/>
      <c r="F2" s="6"/>
      <c r="G2" s="49"/>
      <c r="H2" s="2"/>
    </row>
    <row r="3" spans="1:8" ht="13">
      <c r="A3" s="36" t="s">
        <v>1</v>
      </c>
      <c r="B3" s="19" t="s">
        <v>107</v>
      </c>
      <c r="C3" s="19"/>
      <c r="D3" s="17"/>
      <c r="F3" s="4"/>
      <c r="G3" s="37"/>
      <c r="H3" s="2"/>
    </row>
    <row r="4" spans="1:8" ht="13">
      <c r="A4" s="36" t="s">
        <v>3</v>
      </c>
      <c r="B4" s="20" t="s">
        <v>107</v>
      </c>
      <c r="C4" s="20"/>
      <c r="D4" s="11"/>
      <c r="F4" s="4"/>
      <c r="G4" s="37"/>
      <c r="H4" s="2"/>
    </row>
    <row r="5" spans="1:8" ht="13">
      <c r="A5" s="36" t="s">
        <v>2</v>
      </c>
      <c r="B5" s="21" t="s">
        <v>5</v>
      </c>
      <c r="C5" s="21"/>
      <c r="D5" s="11"/>
      <c r="F5" s="4"/>
      <c r="G5" s="37"/>
      <c r="H5" s="2"/>
    </row>
    <row r="6" spans="1:8" ht="13">
      <c r="A6" s="38"/>
      <c r="B6" s="15"/>
      <c r="C6" s="12"/>
      <c r="D6" s="12"/>
      <c r="E6" s="3"/>
      <c r="F6" s="16"/>
      <c r="G6" s="39"/>
      <c r="H6" s="2"/>
    </row>
    <row r="7" spans="1:8">
      <c r="A7" s="40" t="s">
        <v>116</v>
      </c>
      <c r="B7" s="18">
        <v>1.1000000000000001</v>
      </c>
      <c r="C7" s="18"/>
      <c r="D7" s="47"/>
      <c r="E7" s="7"/>
      <c r="F7" s="4"/>
      <c r="G7" s="37"/>
      <c r="H7" s="1"/>
    </row>
    <row r="8" spans="1:8">
      <c r="A8" s="41" t="s">
        <v>0</v>
      </c>
      <c r="B8" s="8">
        <f ca="1">TODAY()</f>
        <v>43937</v>
      </c>
      <c r="C8" s="9">
        <f ca="1">NOW()</f>
        <v>43937.619865509259</v>
      </c>
      <c r="D8" s="48"/>
      <c r="E8" s="7"/>
      <c r="F8" s="4"/>
      <c r="G8" s="37"/>
      <c r="H8" s="1"/>
    </row>
    <row r="9" spans="1:8">
      <c r="A9" s="40"/>
      <c r="B9" s="7"/>
      <c r="C9" s="4"/>
      <c r="D9" s="4"/>
      <c r="E9" s="7"/>
      <c r="F9" s="4"/>
      <c r="G9" s="37"/>
      <c r="H9" s="2"/>
    </row>
    <row r="10" spans="1:8" ht="13" thickBot="1">
      <c r="A10" s="42"/>
      <c r="B10" s="43"/>
      <c r="C10" s="43"/>
      <c r="D10" s="43"/>
      <c r="E10" s="44"/>
      <c r="F10" s="44"/>
      <c r="G10" s="45"/>
      <c r="H10" s="2"/>
    </row>
    <row r="11" spans="1:8" s="14" customFormat="1" ht="13">
      <c r="A11" s="23" t="s">
        <v>39</v>
      </c>
      <c r="B11" s="24" t="s">
        <v>23</v>
      </c>
      <c r="C11" s="24" t="s">
        <v>6</v>
      </c>
      <c r="D11" s="25" t="s">
        <v>56</v>
      </c>
      <c r="E11" s="25" t="s">
        <v>55</v>
      </c>
      <c r="F11" s="25" t="s">
        <v>62</v>
      </c>
      <c r="G11" s="26" t="s">
        <v>54</v>
      </c>
    </row>
    <row r="12" spans="1:8" s="10" customFormat="1">
      <c r="A12" s="54" t="s">
        <v>40</v>
      </c>
      <c r="B12" s="50" t="s">
        <v>25</v>
      </c>
      <c r="C12" s="51" t="s">
        <v>7</v>
      </c>
      <c r="D12" s="51" t="s">
        <v>24</v>
      </c>
      <c r="E12" s="51" t="s">
        <v>71</v>
      </c>
      <c r="F12" s="51" t="s">
        <v>72</v>
      </c>
      <c r="G12" s="55">
        <v>1</v>
      </c>
      <c r="H12" s="53"/>
    </row>
    <row r="13" spans="1:8" s="10" customFormat="1">
      <c r="A13" s="56" t="s">
        <v>41</v>
      </c>
      <c r="B13" s="50" t="s">
        <v>26</v>
      </c>
      <c r="C13" s="51" t="s">
        <v>8</v>
      </c>
      <c r="D13" s="51" t="s">
        <v>24</v>
      </c>
      <c r="E13" s="51" t="s">
        <v>58</v>
      </c>
      <c r="F13" s="51" t="s">
        <v>57</v>
      </c>
      <c r="G13" s="55">
        <v>1</v>
      </c>
      <c r="H13" s="53"/>
    </row>
    <row r="14" spans="1:8" s="10" customFormat="1">
      <c r="A14" s="54" t="s">
        <v>42</v>
      </c>
      <c r="B14" s="50" t="s">
        <v>27</v>
      </c>
      <c r="C14" s="51" t="s">
        <v>9</v>
      </c>
      <c r="D14" s="51" t="s">
        <v>78</v>
      </c>
      <c r="E14" s="51"/>
      <c r="F14" s="51"/>
      <c r="G14" s="55">
        <v>2</v>
      </c>
      <c r="H14" s="53"/>
    </row>
    <row r="15" spans="1:8" s="10" customFormat="1">
      <c r="A15" s="56" t="s">
        <v>81</v>
      </c>
      <c r="B15" s="50" t="s">
        <v>28</v>
      </c>
      <c r="C15" s="51" t="s">
        <v>10</v>
      </c>
      <c r="D15" s="51" t="s">
        <v>77</v>
      </c>
      <c r="E15" s="51"/>
      <c r="F15" s="51"/>
      <c r="G15" s="55">
        <v>4</v>
      </c>
      <c r="H15" s="53"/>
    </row>
    <row r="16" spans="1:8" s="10" customFormat="1">
      <c r="A16" s="54" t="s">
        <v>43</v>
      </c>
      <c r="B16" s="50" t="s">
        <v>29</v>
      </c>
      <c r="C16" s="51" t="s">
        <v>10</v>
      </c>
      <c r="D16" s="51" t="s">
        <v>77</v>
      </c>
      <c r="E16" s="51"/>
      <c r="F16" s="51"/>
      <c r="G16" s="55">
        <v>3</v>
      </c>
      <c r="H16" s="53"/>
    </row>
    <row r="17" spans="1:8" s="10" customFormat="1">
      <c r="A17" s="56" t="s">
        <v>82</v>
      </c>
      <c r="B17" s="50" t="s">
        <v>29</v>
      </c>
      <c r="C17" s="51" t="s">
        <v>11</v>
      </c>
      <c r="D17" s="51" t="s">
        <v>77</v>
      </c>
      <c r="E17" s="51"/>
      <c r="F17" s="51"/>
      <c r="G17" s="55">
        <v>5</v>
      </c>
      <c r="H17" s="53"/>
    </row>
    <row r="18" spans="1:8" s="10" customFormat="1" ht="25">
      <c r="A18" s="54" t="s">
        <v>83</v>
      </c>
      <c r="B18" s="50" t="s">
        <v>84</v>
      </c>
      <c r="C18" s="51" t="s">
        <v>10</v>
      </c>
      <c r="D18" s="51" t="s">
        <v>77</v>
      </c>
      <c r="E18" s="51"/>
      <c r="F18" s="51"/>
      <c r="G18" s="55">
        <v>14</v>
      </c>
      <c r="H18" s="53"/>
    </row>
    <row r="19" spans="1:8" s="10" customFormat="1">
      <c r="A19" s="56" t="s">
        <v>44</v>
      </c>
      <c r="B19" s="50" t="s">
        <v>85</v>
      </c>
      <c r="C19" s="51" t="s">
        <v>63</v>
      </c>
      <c r="D19" s="51" t="s">
        <v>24</v>
      </c>
      <c r="E19" s="51"/>
      <c r="F19" s="51"/>
      <c r="G19" s="55">
        <v>2</v>
      </c>
      <c r="H19" s="53"/>
    </row>
    <row r="20" spans="1:8" s="10" customFormat="1">
      <c r="A20" s="54" t="s">
        <v>45</v>
      </c>
      <c r="B20" s="50" t="s">
        <v>86</v>
      </c>
      <c r="C20" s="51" t="s">
        <v>64</v>
      </c>
      <c r="D20" s="51" t="s">
        <v>24</v>
      </c>
      <c r="E20" s="51"/>
      <c r="F20" s="51"/>
      <c r="G20" s="55">
        <v>1</v>
      </c>
      <c r="H20" s="53"/>
    </row>
    <row r="21" spans="1:8" s="10" customFormat="1">
      <c r="A21" s="56" t="s">
        <v>87</v>
      </c>
      <c r="B21" s="50" t="s">
        <v>30</v>
      </c>
      <c r="C21" s="51" t="s">
        <v>65</v>
      </c>
      <c r="D21" s="51" t="s">
        <v>24</v>
      </c>
      <c r="E21" s="51"/>
      <c r="F21" s="51"/>
      <c r="G21" s="55">
        <v>4</v>
      </c>
      <c r="H21" s="53"/>
    </row>
    <row r="22" spans="1:8" s="10" customFormat="1">
      <c r="A22" s="54" t="s">
        <v>88</v>
      </c>
      <c r="B22" s="50" t="s">
        <v>24</v>
      </c>
      <c r="C22" s="51" t="s">
        <v>12</v>
      </c>
      <c r="D22" s="51" t="s">
        <v>24</v>
      </c>
      <c r="E22" s="52" t="s">
        <v>60</v>
      </c>
      <c r="F22" s="52" t="s">
        <v>73</v>
      </c>
      <c r="G22" s="55">
        <v>4</v>
      </c>
      <c r="H22" s="53"/>
    </row>
    <row r="23" spans="1:8" s="10" customFormat="1">
      <c r="A23" s="56" t="s">
        <v>46</v>
      </c>
      <c r="B23" s="50" t="s">
        <v>24</v>
      </c>
      <c r="C23" s="51" t="s">
        <v>89</v>
      </c>
      <c r="D23" s="51" t="s">
        <v>24</v>
      </c>
      <c r="E23" s="52" t="s">
        <v>60</v>
      </c>
      <c r="F23" s="52" t="s">
        <v>108</v>
      </c>
      <c r="G23" s="55">
        <v>1</v>
      </c>
      <c r="H23" s="53"/>
    </row>
    <row r="24" spans="1:8" s="10" customFormat="1">
      <c r="A24" s="54" t="s">
        <v>47</v>
      </c>
      <c r="B24" s="50" t="s">
        <v>13</v>
      </c>
      <c r="C24" s="51" t="s">
        <v>13</v>
      </c>
      <c r="D24" s="51" t="s">
        <v>80</v>
      </c>
      <c r="E24" s="51"/>
      <c r="F24" s="51"/>
      <c r="G24" s="55">
        <v>1</v>
      </c>
      <c r="H24" s="53"/>
    </row>
    <row r="25" spans="1:8" s="10" customFormat="1">
      <c r="A25" s="56" t="s">
        <v>109</v>
      </c>
      <c r="B25" s="50" t="s">
        <v>14</v>
      </c>
      <c r="C25" s="51" t="s">
        <v>14</v>
      </c>
      <c r="D25" s="51" t="s">
        <v>79</v>
      </c>
      <c r="E25" s="51"/>
      <c r="F25" s="51"/>
      <c r="G25" s="55">
        <v>5</v>
      </c>
      <c r="H25" s="53"/>
    </row>
    <row r="26" spans="1:8" s="10" customFormat="1">
      <c r="A26" s="54" t="s">
        <v>90</v>
      </c>
      <c r="B26" s="50" t="s">
        <v>91</v>
      </c>
      <c r="C26" s="51" t="s">
        <v>91</v>
      </c>
      <c r="D26" s="51" t="s">
        <v>79</v>
      </c>
      <c r="E26" s="51"/>
      <c r="F26" s="51"/>
      <c r="G26" s="55">
        <v>1</v>
      </c>
      <c r="H26" s="53"/>
    </row>
    <row r="27" spans="1:8" s="10" customFormat="1">
      <c r="A27" s="56" t="s">
        <v>92</v>
      </c>
      <c r="B27" s="50" t="s">
        <v>15</v>
      </c>
      <c r="C27" s="51" t="s">
        <v>14</v>
      </c>
      <c r="D27" s="51" t="s">
        <v>79</v>
      </c>
      <c r="E27" s="51"/>
      <c r="F27" s="51"/>
      <c r="G27" s="55">
        <v>7</v>
      </c>
      <c r="H27" s="53"/>
    </row>
    <row r="28" spans="1:8" s="10" customFormat="1">
      <c r="A28" s="54" t="s">
        <v>48</v>
      </c>
      <c r="B28" s="50" t="s">
        <v>31</v>
      </c>
      <c r="C28" s="51" t="s">
        <v>16</v>
      </c>
      <c r="D28" s="51" t="s">
        <v>75</v>
      </c>
      <c r="E28" s="51"/>
      <c r="F28" s="51"/>
      <c r="G28" s="55">
        <v>1</v>
      </c>
      <c r="H28" s="53"/>
    </row>
    <row r="29" spans="1:8" s="10" customFormat="1" ht="25">
      <c r="A29" s="56" t="s">
        <v>93</v>
      </c>
      <c r="B29" s="50" t="s">
        <v>32</v>
      </c>
      <c r="C29" s="51" t="s">
        <v>17</v>
      </c>
      <c r="D29" s="51" t="s">
        <v>74</v>
      </c>
      <c r="E29" s="51"/>
      <c r="F29" s="51"/>
      <c r="G29" s="55">
        <v>9</v>
      </c>
      <c r="H29" s="53"/>
    </row>
    <row r="30" spans="1:8" s="10" customFormat="1">
      <c r="A30" s="54" t="s">
        <v>111</v>
      </c>
      <c r="B30" s="50" t="s">
        <v>34</v>
      </c>
      <c r="C30" s="51" t="s">
        <v>17</v>
      </c>
      <c r="D30" s="51" t="s">
        <v>74</v>
      </c>
      <c r="E30" s="51"/>
      <c r="F30" s="51"/>
      <c r="G30" s="55">
        <v>8</v>
      </c>
      <c r="H30" s="53"/>
    </row>
    <row r="31" spans="1:8" s="10" customFormat="1">
      <c r="A31" s="65" t="s">
        <v>112</v>
      </c>
      <c r="B31" s="50" t="s">
        <v>34</v>
      </c>
      <c r="C31" s="51" t="s">
        <v>17</v>
      </c>
      <c r="D31" s="51" t="s">
        <v>76</v>
      </c>
      <c r="E31" s="51"/>
      <c r="F31" s="51"/>
      <c r="G31" s="55">
        <v>6</v>
      </c>
      <c r="H31" s="53"/>
    </row>
    <row r="32" spans="1:8" s="10" customFormat="1">
      <c r="A32" s="56" t="s">
        <v>49</v>
      </c>
      <c r="B32" s="50" t="s">
        <v>33</v>
      </c>
      <c r="C32" s="51" t="s">
        <v>18</v>
      </c>
      <c r="D32" s="51" t="s">
        <v>74</v>
      </c>
      <c r="E32" s="51"/>
      <c r="F32" s="51"/>
      <c r="G32" s="55">
        <v>1</v>
      </c>
      <c r="H32" s="53"/>
    </row>
    <row r="33" spans="1:8" s="10" customFormat="1">
      <c r="A33" s="54" t="s">
        <v>94</v>
      </c>
      <c r="B33" s="50" t="s">
        <v>36</v>
      </c>
      <c r="C33" s="51" t="s">
        <v>18</v>
      </c>
      <c r="D33" s="51" t="s">
        <v>74</v>
      </c>
      <c r="E33" s="51"/>
      <c r="F33" s="51"/>
      <c r="G33" s="55">
        <v>1</v>
      </c>
      <c r="H33" s="53"/>
    </row>
    <row r="34" spans="1:8" s="10" customFormat="1" ht="37.5">
      <c r="A34" s="56" t="s">
        <v>95</v>
      </c>
      <c r="B34" s="50" t="s">
        <v>96</v>
      </c>
      <c r="C34" s="51" t="s">
        <v>19</v>
      </c>
      <c r="D34" s="51" t="s">
        <v>76</v>
      </c>
      <c r="E34" s="51"/>
      <c r="F34" s="51"/>
      <c r="G34" s="55">
        <v>21</v>
      </c>
      <c r="H34" s="53"/>
    </row>
    <row r="35" spans="1:8" s="10" customFormat="1">
      <c r="A35" s="54" t="s">
        <v>97</v>
      </c>
      <c r="B35" s="50" t="s">
        <v>35</v>
      </c>
      <c r="C35" s="51" t="s">
        <v>17</v>
      </c>
      <c r="D35" s="51" t="s">
        <v>76</v>
      </c>
      <c r="E35" s="51"/>
      <c r="F35" s="51"/>
      <c r="G35" s="55">
        <v>8</v>
      </c>
      <c r="H35" s="53"/>
    </row>
    <row r="36" spans="1:8" s="10" customFormat="1">
      <c r="A36" s="56" t="s">
        <v>98</v>
      </c>
      <c r="B36" s="50" t="s">
        <v>99</v>
      </c>
      <c r="C36" s="51" t="s">
        <v>17</v>
      </c>
      <c r="D36" s="51" t="s">
        <v>74</v>
      </c>
      <c r="E36" s="51"/>
      <c r="F36" s="51"/>
      <c r="G36" s="55">
        <v>8</v>
      </c>
      <c r="H36" s="53"/>
    </row>
    <row r="37" spans="1:8" s="10" customFormat="1">
      <c r="A37" s="54" t="s">
        <v>50</v>
      </c>
      <c r="B37" s="50" t="s">
        <v>37</v>
      </c>
      <c r="C37" s="51" t="s">
        <v>20</v>
      </c>
      <c r="D37" s="51" t="s">
        <v>24</v>
      </c>
      <c r="E37" s="51" t="s">
        <v>59</v>
      </c>
      <c r="F37" s="51" t="s">
        <v>20</v>
      </c>
      <c r="G37" s="55">
        <v>1</v>
      </c>
      <c r="H37" s="53"/>
    </row>
    <row r="38" spans="1:8" s="10" customFormat="1">
      <c r="A38" s="56" t="s">
        <v>51</v>
      </c>
      <c r="B38" s="50" t="s">
        <v>66</v>
      </c>
      <c r="C38" s="51" t="s">
        <v>100</v>
      </c>
      <c r="D38" s="51" t="s">
        <v>24</v>
      </c>
      <c r="E38" s="52" t="s">
        <v>70</v>
      </c>
      <c r="F38" s="51" t="s">
        <v>66</v>
      </c>
      <c r="G38" s="55">
        <v>1</v>
      </c>
      <c r="H38" s="53"/>
    </row>
    <row r="39" spans="1:8" s="10" customFormat="1">
      <c r="A39" s="54" t="s">
        <v>52</v>
      </c>
      <c r="B39" s="50" t="s">
        <v>38</v>
      </c>
      <c r="C39" s="51" t="s">
        <v>21</v>
      </c>
      <c r="D39" s="51" t="s">
        <v>24</v>
      </c>
      <c r="E39" s="52" t="s">
        <v>61</v>
      </c>
      <c r="F39" s="51"/>
      <c r="G39" s="55">
        <v>1</v>
      </c>
      <c r="H39" s="53"/>
    </row>
    <row r="40" spans="1:8" s="10" customFormat="1">
      <c r="A40" s="56" t="s">
        <v>101</v>
      </c>
      <c r="B40" s="50" t="s">
        <v>67</v>
      </c>
      <c r="C40" s="51" t="s">
        <v>67</v>
      </c>
      <c r="D40" s="51"/>
      <c r="E40" s="52" t="s">
        <v>68</v>
      </c>
      <c r="F40" s="51" t="s">
        <v>67</v>
      </c>
      <c r="G40" s="55">
        <v>4</v>
      </c>
      <c r="H40" s="53"/>
    </row>
    <row r="41" spans="1:8" s="10" customFormat="1">
      <c r="A41" s="66" t="s">
        <v>102</v>
      </c>
      <c r="B41" s="62" t="s">
        <v>103</v>
      </c>
      <c r="C41" s="63" t="s">
        <v>104</v>
      </c>
      <c r="D41" s="63"/>
      <c r="E41" s="64" t="s">
        <v>69</v>
      </c>
      <c r="F41" s="63" t="s">
        <v>110</v>
      </c>
      <c r="G41" s="55">
        <v>1</v>
      </c>
      <c r="H41" s="53"/>
    </row>
    <row r="42" spans="1:8" s="10" customFormat="1" ht="13.5" thickBot="1">
      <c r="A42" s="57" t="s">
        <v>53</v>
      </c>
      <c r="B42" s="58" t="s">
        <v>105</v>
      </c>
      <c r="C42" s="59" t="s">
        <v>22</v>
      </c>
      <c r="D42" s="67" t="s">
        <v>113</v>
      </c>
      <c r="E42" s="60" t="s">
        <v>114</v>
      </c>
      <c r="F42" s="59" t="s">
        <v>115</v>
      </c>
      <c r="G42" s="61">
        <v>1</v>
      </c>
      <c r="H42" s="53"/>
    </row>
    <row r="43" spans="1:8">
      <c r="A43" s="27"/>
      <c r="B43" s="28"/>
      <c r="C43" s="28"/>
      <c r="D43" s="28"/>
      <c r="E43" s="28"/>
      <c r="F43" s="29"/>
      <c r="G43" s="30">
        <f>SUM(G12:G42)</f>
        <v>128</v>
      </c>
    </row>
  </sheetData>
  <phoneticPr fontId="0" type="noConversion"/>
  <printOptions horizontalCentered="1"/>
  <pageMargins left="0.2" right="0.2" top="1" bottom="0.75" header="0.3" footer="0.3"/>
  <pageSetup paperSize="9" scale="70" orientation="portrait" horizontalDpi="200" verticalDpi="200" r:id="rId1"/>
  <headerFooter alignWithMargins="0">
    <oddFooter>&amp;L&amp;"Arial,Bold"Atmel Corporation&amp;C&amp;D&amp;RPage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ATM90E3x-DB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Atmel User</dc:creator>
  <cp:lastModifiedBy>Kelly Ding - A41401</cp:lastModifiedBy>
  <cp:lastPrinted>2013-05-31T03:08:06Z</cp:lastPrinted>
  <dcterms:created xsi:type="dcterms:W3CDTF">2000-10-27T00:30:29Z</dcterms:created>
  <dcterms:modified xsi:type="dcterms:W3CDTF">2020-04-16T06:52:39Z</dcterms:modified>
</cp:coreProperties>
</file>