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pen_PLCSTM32\Open_STMPLC\Quatation\"/>
    </mc:Choice>
  </mc:AlternateContent>
  <xr:revisionPtr revIDLastSave="0" documentId="13_ncr:1_{61C31680-8120-49AD-8DDC-075070735A2E}" xr6:coauthVersionLast="47" xr6:coauthVersionMax="47" xr10:uidLastSave="{00000000-0000-0000-0000-000000000000}"/>
  <bookViews>
    <workbookView xWindow="-120" yWindow="-120" windowWidth="20730" windowHeight="11160" xr2:uid="{F20F0F6A-4BD1-47C3-B1C9-B63C3FFCC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7" i="1" l="1"/>
  <c r="C16" i="1"/>
  <c r="E5" i="1"/>
  <c r="F5" i="1"/>
  <c r="G5" i="1"/>
  <c r="E6" i="1"/>
  <c r="F6" i="1"/>
  <c r="G6" i="1"/>
  <c r="E7" i="1"/>
  <c r="F7" i="1"/>
  <c r="G7" i="1" s="1"/>
  <c r="E8" i="1"/>
  <c r="F8" i="1"/>
  <c r="G8" i="1" s="1"/>
</calcChain>
</file>

<file path=xl/sharedStrings.xml><?xml version="1.0" encoding="utf-8"?>
<sst xmlns="http://schemas.openxmlformats.org/spreadsheetml/2006/main" count="13" uniqueCount="13">
  <si>
    <t>Sr No</t>
  </si>
  <si>
    <t>Description</t>
  </si>
  <si>
    <t>BOM Cost in Doller</t>
  </si>
  <si>
    <t>PCB Qunatity</t>
  </si>
  <si>
    <t>BOM Cost in Ruppes</t>
  </si>
  <si>
    <t>Per PCB Cost in Doller</t>
  </si>
  <si>
    <t>Per PCB Cost in Ruppes</t>
  </si>
  <si>
    <t>Main_PCB</t>
  </si>
  <si>
    <t>IO_PCB</t>
  </si>
  <si>
    <t>Combine Main + IO PCB Price</t>
  </si>
  <si>
    <t>1000 Qty</t>
  </si>
  <si>
    <t>2000 Qty</t>
  </si>
  <si>
    <t>Mass_Quantity (LCSC Site)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</si>
</sst>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CE718-D1E7-4542-A4EA-76FC16E4C622}">
  <dimension ref="A1:G17"/>
  <sheetViews>
    <sheetView tabSelected="1" workbookViewId="0">
      <selection activeCell="F10" sqref="F10"/>
    </sheetView>
  </sheetViews>
  <sheetFormatPr defaultRowHeight="15" x14ac:dyDescent="0.25"/>
  <cols>
    <col min="2" max="2" width="11.140625" bestFit="1" customWidth="1"/>
    <col min="3" max="3" width="12.28515625" bestFit="1" customWidth="1"/>
    <col min="4" max="4" width="17.5703125" bestFit="1" customWidth="1"/>
    <col min="5" max="5" width="18.85546875" bestFit="1" customWidth="1"/>
    <col min="6" max="6" width="20.140625" bestFit="1" customWidth="1"/>
    <col min="7" max="7" width="21.5703125" bestFit="1" customWidth="1"/>
  </cols>
  <sheetData>
    <row r="1" spans="1:7" x14ac:dyDescent="0.25">
      <c r="A1" s="7" t="s">
        <v>12</v>
      </c>
      <c r="B1" s="7"/>
      <c r="C1" s="7"/>
      <c r="D1" s="7"/>
      <c r="E1" s="7"/>
      <c r="F1" s="7"/>
      <c r="G1" s="7"/>
    </row>
    <row r="2" spans="1:7" x14ac:dyDescent="0.25">
      <c r="A2" s="3"/>
      <c r="B2" s="6"/>
      <c r="C2" s="6"/>
      <c r="D2" s="6"/>
      <c r="E2" s="6"/>
      <c r="F2" s="6"/>
      <c r="G2" s="4"/>
    </row>
    <row r="3" spans="1:7" x14ac:dyDescent="0.25">
      <c r="A3" s="2" t="s">
        <v>0</v>
      </c>
      <c r="B3" s="2" t="s">
        <v>1</v>
      </c>
      <c r="C3" s="2" t="s">
        <v>3</v>
      </c>
      <c r="D3" s="2" t="s">
        <v>2</v>
      </c>
      <c r="E3" s="2" t="s">
        <v>4</v>
      </c>
      <c r="F3" s="2" t="s">
        <v>5</v>
      </c>
      <c r="G3" s="2" t="s">
        <v>6</v>
      </c>
    </row>
    <row r="4" spans="1:7" x14ac:dyDescent="0.25">
      <c r="A4" s="3"/>
      <c r="B4" s="6"/>
      <c r="C4" s="6"/>
      <c r="D4" s="6"/>
      <c r="E4" s="6"/>
      <c r="F4" s="6"/>
      <c r="G4" s="4"/>
    </row>
    <row r="5" spans="1:7" x14ac:dyDescent="0.25">
      <c r="A5" s="2">
        <v>1</v>
      </c>
      <c r="B5" s="5" t="s">
        <v>7</v>
      </c>
      <c r="C5" s="2">
        <v>1000</v>
      </c>
      <c r="D5" s="2">
        <v>16648.599999999999</v>
      </c>
      <c r="E5" s="2">
        <f>D5*96.86</f>
        <v>1612583.3959999999</v>
      </c>
      <c r="F5" s="2">
        <f>D5/C5</f>
        <v>16.648599999999998</v>
      </c>
      <c r="G5" s="2">
        <f>F5*96.86</f>
        <v>1612.5833959999998</v>
      </c>
    </row>
    <row r="6" spans="1:7" x14ac:dyDescent="0.25">
      <c r="A6" s="2">
        <v>2</v>
      </c>
      <c r="B6" s="5"/>
      <c r="C6" s="2">
        <v>2000</v>
      </c>
      <c r="D6" s="2">
        <v>32269.4</v>
      </c>
      <c r="E6" s="2">
        <f t="shared" ref="E6:E8" si="0">D6*96.86</f>
        <v>3125614.0840000003</v>
      </c>
      <c r="F6" s="2">
        <f t="shared" ref="F6:F8" si="1">D6/C6</f>
        <v>16.134700000000002</v>
      </c>
      <c r="G6" s="2">
        <f t="shared" ref="G6:G8" si="2">F6*96.86</f>
        <v>1562.8070420000001</v>
      </c>
    </row>
    <row r="7" spans="1:7" x14ac:dyDescent="0.25">
      <c r="A7" s="2">
        <v>3</v>
      </c>
      <c r="B7" s="5" t="s">
        <v>8</v>
      </c>
      <c r="C7" s="2">
        <v>1000</v>
      </c>
      <c r="D7" s="2">
        <v>39405.5</v>
      </c>
      <c r="E7" s="2">
        <f t="shared" si="0"/>
        <v>3816816.73</v>
      </c>
      <c r="F7" s="2">
        <f t="shared" si="1"/>
        <v>39.405500000000004</v>
      </c>
      <c r="G7" s="2">
        <f t="shared" si="2"/>
        <v>3816.8167300000005</v>
      </c>
    </row>
    <row r="8" spans="1:7" x14ac:dyDescent="0.25">
      <c r="A8" s="2">
        <v>4</v>
      </c>
      <c r="B8" s="5"/>
      <c r="C8" s="2">
        <v>2000</v>
      </c>
      <c r="D8" s="2">
        <v>78103.600000000006</v>
      </c>
      <c r="E8" s="2">
        <f t="shared" si="0"/>
        <v>7565114.6960000005</v>
      </c>
      <c r="F8" s="2">
        <f t="shared" si="1"/>
        <v>39.0518</v>
      </c>
      <c r="G8" s="2">
        <f t="shared" si="2"/>
        <v>3782.5573479999998</v>
      </c>
    </row>
    <row r="14" spans="1:7" x14ac:dyDescent="0.25">
      <c r="B14" s="1" t="s">
        <v>9</v>
      </c>
      <c r="C14" s="1"/>
      <c r="D14" s="1"/>
    </row>
    <row r="15" spans="1:7" x14ac:dyDescent="0.25">
      <c r="B15" s="1"/>
      <c r="C15" s="1"/>
      <c r="D15" s="1"/>
    </row>
    <row r="16" spans="1:7" x14ac:dyDescent="0.25">
      <c r="B16" s="2" t="s">
        <v>10</v>
      </c>
      <c r="C16" s="3">
        <f>G5+G7</f>
        <v>5429.4001260000005</v>
      </c>
      <c r="D16" s="4"/>
    </row>
    <row r="17" spans="2:4" x14ac:dyDescent="0.25">
      <c r="B17" s="2" t="s">
        <v>11</v>
      </c>
      <c r="C17" s="3">
        <f>G6+G8</f>
        <v>5345.3643899999997</v>
      </c>
      <c r="D17" s="4"/>
    </row>
  </sheetData>
  <mergeCells count="8">
    <mergeCell ref="C17:D17"/>
    <mergeCell ref="A2:G2"/>
    <mergeCell ref="A4:G4"/>
    <mergeCell ref="A1:G1"/>
    <mergeCell ref="B5:B6"/>
    <mergeCell ref="B7:B8"/>
    <mergeCell ref="B14:D15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100lanki sagar</dc:creator>
  <cp:lastModifiedBy>100lanki sagar</cp:lastModifiedBy>
  <dcterms:created xsi:type="dcterms:W3CDTF">2026-05-20T12:43:32Z</dcterms:created>
  <dcterms:modified xsi:type="dcterms:W3CDTF">2026-05-20T13:05:44Z</dcterms:modified>
</cp:coreProperties>
</file>